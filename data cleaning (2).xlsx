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Sheet1!$C$4:$E$7</definedName>
  </definedNames>
  <calcPr/>
</workbook>
</file>

<file path=xl/sharedStrings.xml><?xml version="1.0" encoding="utf-8"?>
<sst xmlns="http://schemas.openxmlformats.org/spreadsheetml/2006/main" count="103" uniqueCount="82">
  <si>
    <t>How would you sort the following dataset first by "Department" (A-Z) and then by "Salary" (Largest to</t>
  </si>
  <si>
    <t>Smallest)? Write a step-by-step approach</t>
  </si>
  <si>
    <t>adding filter then sorting the department to a-z and then sorting the salary by Larger  to smaller</t>
  </si>
  <si>
    <t>Emploee</t>
  </si>
  <si>
    <t xml:space="preserve">Depatment </t>
  </si>
  <si>
    <t>Salary</t>
  </si>
  <si>
    <t>pranav</t>
  </si>
  <si>
    <t>HR</t>
  </si>
  <si>
    <t>sonu</t>
  </si>
  <si>
    <t>IT</t>
  </si>
  <si>
    <t>Rahul</t>
  </si>
  <si>
    <t>Apply Data Validation to restrict Quantity values to only whole numbers between 1 and 10.</t>
  </si>
  <si>
    <t>a</t>
  </si>
  <si>
    <t>Configure an input message that appears when a user selects a cell in the "Quantity" column explaining:_x000b_
"Please enter a whole number between 1 and 10."</t>
  </si>
  <si>
    <t>b</t>
  </si>
  <si>
    <t>Set up an error alert message that triggers if the user enters a number less than 1 or greater than 10,
showing:_x000b_
"Invalid input! The quantity must be a whole number between 1 and 10."</t>
  </si>
  <si>
    <t>customer Name</t>
  </si>
  <si>
    <t>Product Name</t>
  </si>
  <si>
    <t>Category</t>
  </si>
  <si>
    <t>Quantity</t>
  </si>
  <si>
    <t>Unit Price</t>
  </si>
  <si>
    <t>Jane Smith</t>
  </si>
  <si>
    <t>Shoes</t>
  </si>
  <si>
    <t>Electronics</t>
  </si>
  <si>
    <t>Isabella moore</t>
  </si>
  <si>
    <t>Laptop</t>
  </si>
  <si>
    <t>Daniel davis</t>
  </si>
  <si>
    <t>Sofa</t>
  </si>
  <si>
    <t>cClothing</t>
  </si>
  <si>
    <t>Alex Moore</t>
  </si>
  <si>
    <t>Michel Johnson</t>
  </si>
  <si>
    <t>Table Lamps</t>
  </si>
  <si>
    <t>Home Decore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</si>
  <si>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</si>
  <si>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</si>
  <si>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</si>
  <si>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</si>
  <si>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</si>
  <si>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</si>
  <si>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</si>
  <si>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U nderstand and apply fundamental text functions like LEFT, RIGHT, MID, and LEN</t>
  </si>
  <si>
    <t>Extract the first 5 characters from the string "ExcelTipsAreGreat" using the LEFT function</t>
  </si>
  <si>
    <t>ExcelTipsAreGreat</t>
  </si>
  <si>
    <t>Extract the last 4 characters from "DataAnalysis.xlsx" using the RIGHT function.</t>
  </si>
  <si>
    <t xml:space="preserve"> DataAnalysis.xlsx</t>
  </si>
  <si>
    <t>c</t>
  </si>
  <si>
    <t>Extract the substring "Tips" from "ExcelTipsAreGreat" using the MID function.</t>
  </si>
  <si>
    <t>d</t>
  </si>
  <si>
    <t>Count the total number of characters in the string "Hello World!" using the LEN function</t>
  </si>
  <si>
    <t>"Hello World!"</t>
  </si>
  <si>
    <t>f</t>
  </si>
  <si>
    <t>Create a formula to extract the middle 6 characters from "12345-67890-ABCDE".</t>
  </si>
  <si>
    <t xml:space="preserve"> 12345-67890-ABCDE</t>
  </si>
  <si>
    <t>understand how to combine text using CONCAT, TEXTJOIN, and the &amp; operator.</t>
  </si>
  <si>
    <t xml:space="preserve"> Hello</t>
  </si>
  <si>
    <t>Use CONCAT to combine "Hello" and "World" with a space in between.</t>
  </si>
  <si>
    <t xml:space="preserve"> World</t>
  </si>
  <si>
    <t>Combine "Apple", "Banana", and "Cherry" into a single string separated by commas using TEXTJOIN</t>
  </si>
  <si>
    <t>Use the &amp; operator to create the string "2025: Excel Functions" by combining "2025", ": ", and "Excel Functions".</t>
  </si>
  <si>
    <t>Create a comma-separated list from the range A1:A5 using TEXTJOIN</t>
  </si>
  <si>
    <t>A</t>
  </si>
  <si>
    <t>B</t>
  </si>
  <si>
    <t>C</t>
  </si>
  <si>
    <t>Nayana</t>
  </si>
  <si>
    <t>shekher</t>
  </si>
  <si>
    <t>surabhi</t>
  </si>
  <si>
    <t>Damu</t>
  </si>
  <si>
    <t>e</t>
  </si>
  <si>
    <t>Combine first names in column A with last names in column B to create full names in column C</t>
  </si>
  <si>
    <t>asihu</t>
  </si>
  <si>
    <t>takoor</t>
  </si>
  <si>
    <t>Ram</t>
  </si>
  <si>
    <t>kumar</t>
  </si>
  <si>
    <t>rahul</t>
  </si>
  <si>
    <t>kuruba</t>
  </si>
  <si>
    <t>Understanding TODAY() and NOW()</t>
  </si>
  <si>
    <t>What is the difference between TODAY() and NOW() in Excel? Provide an example of when you would use each function</t>
  </si>
  <si>
    <t>if cell A1 contains the date 2025-06-10, write a formula using TODAY() to determine how many days are left until that date</t>
  </si>
  <si>
    <t>Write an Excel formula using NOW() to display the current date and time in the format MM/DD/YYYY
 HH:MM AM/PM.</t>
  </si>
  <si>
    <t xml:space="preserve"> If a cell contains =TODAY(), what will happen when the worksheet is reopened the next day? Explain</t>
  </si>
  <si>
    <t>yes it update to today as  the function works that way and it shall change and get updated to present day when it shall be opened</t>
  </si>
  <si>
    <t>You want to store a static date (today’s date) in a cell without it changing every day. What keyboard
 shortcut should you use?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</si>
</sst>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m/d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1" numFmtId="14" xfId="0" applyFont="1" applyNumberFormat="1"/>
    <xf borderId="0" fillId="0" fontId="1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3.25"/>
    <col customWidth="1" min="3" max="3" width="18.75"/>
    <col customWidth="1" min="4" max="4" width="11.63"/>
    <col customWidth="1" min="5" max="5" width="11.25"/>
    <col customWidth="1" min="6" max="26" width="8.63"/>
  </cols>
  <sheetData>
    <row r="1" ht="14.25" customHeight="1">
      <c r="A1" s="1">
        <v>2.0</v>
      </c>
      <c r="B1" s="2" t="s">
        <v>0</v>
      </c>
    </row>
    <row r="2" ht="14.25" customHeight="1">
      <c r="B2" s="1" t="s">
        <v>1</v>
      </c>
    </row>
    <row r="3" ht="14.25" customHeight="1"/>
    <row r="4" ht="14.25" customHeight="1">
      <c r="B4" s="1" t="s">
        <v>2</v>
      </c>
      <c r="C4" s="3" t="s">
        <v>3</v>
      </c>
      <c r="D4" s="3" t="s">
        <v>4</v>
      </c>
      <c r="E4" s="3" t="s">
        <v>5</v>
      </c>
    </row>
    <row r="5" ht="14.25" customHeight="1">
      <c r="C5" s="3" t="s">
        <v>6</v>
      </c>
      <c r="D5" s="3" t="s">
        <v>7</v>
      </c>
      <c r="E5" s="3">
        <v>5000.0</v>
      </c>
    </row>
    <row r="6" ht="14.25" customHeight="1">
      <c r="C6" s="3" t="s">
        <v>8</v>
      </c>
      <c r="D6" s="3" t="s">
        <v>9</v>
      </c>
      <c r="E6" s="3">
        <v>4000.0</v>
      </c>
    </row>
    <row r="7" ht="14.25" customHeight="1">
      <c r="C7" s="3" t="s">
        <v>10</v>
      </c>
      <c r="D7" s="3" t="s">
        <v>9</v>
      </c>
      <c r="E7" s="3">
        <v>2500.0</v>
      </c>
    </row>
    <row r="8" ht="14.25" customHeight="1"/>
    <row r="9" ht="14.25" customHeight="1"/>
    <row r="10" ht="14.25" customHeight="1"/>
    <row r="11" ht="14.25" customHeight="1">
      <c r="A11" s="1">
        <v>5.0</v>
      </c>
      <c r="B11" s="1" t="s">
        <v>11</v>
      </c>
    </row>
    <row r="12" ht="14.25" customHeight="1"/>
    <row r="13" ht="14.25" customHeight="1">
      <c r="A13" s="4" t="s">
        <v>12</v>
      </c>
      <c r="B13" s="2" t="s">
        <v>13</v>
      </c>
    </row>
    <row r="14" ht="14.25" customHeight="1">
      <c r="A14" s="4" t="s">
        <v>14</v>
      </c>
      <c r="B14" s="2" t="s">
        <v>15</v>
      </c>
    </row>
    <row r="15" ht="14.25" customHeight="1">
      <c r="A15" s="4"/>
    </row>
    <row r="16" ht="14.25" customHeight="1">
      <c r="A16" s="4"/>
    </row>
    <row r="17" ht="14.25" customHeight="1">
      <c r="A17" s="4"/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</row>
    <row r="18" ht="14.25" customHeight="1">
      <c r="A18" s="4"/>
      <c r="C18" s="1" t="s">
        <v>21</v>
      </c>
      <c r="D18" s="1" t="s">
        <v>22</v>
      </c>
      <c r="E18" s="1" t="s">
        <v>23</v>
      </c>
      <c r="F18" s="5">
        <v>1.0</v>
      </c>
      <c r="G18" s="1">
        <v>81.0</v>
      </c>
    </row>
    <row r="19" ht="14.25" customHeight="1">
      <c r="A19" s="4"/>
      <c r="C19" s="1" t="s">
        <v>24</v>
      </c>
      <c r="D19" s="1" t="s">
        <v>25</v>
      </c>
      <c r="E19" s="1" t="s">
        <v>23</v>
      </c>
      <c r="F19" s="5">
        <f t="shared" ref="F19:F26" si="1">F18+1</f>
        <v>2</v>
      </c>
      <c r="G19" s="1">
        <v>121.0</v>
      </c>
    </row>
    <row r="20" ht="14.25" customHeight="1">
      <c r="A20" s="4"/>
      <c r="C20" s="1" t="s">
        <v>26</v>
      </c>
      <c r="D20" s="1" t="s">
        <v>27</v>
      </c>
      <c r="E20" s="1" t="s">
        <v>28</v>
      </c>
      <c r="F20" s="5">
        <f t="shared" si="1"/>
        <v>3</v>
      </c>
      <c r="G20" s="1">
        <v>239.0</v>
      </c>
    </row>
    <row r="21" ht="14.25" customHeight="1">
      <c r="A21" s="4"/>
      <c r="C21" s="1" t="s">
        <v>29</v>
      </c>
      <c r="D21" s="1" t="s">
        <v>22</v>
      </c>
      <c r="E21" s="1" t="s">
        <v>23</v>
      </c>
      <c r="F21" s="5">
        <f t="shared" si="1"/>
        <v>4</v>
      </c>
      <c r="G21" s="1">
        <v>500.0</v>
      </c>
    </row>
    <row r="22" ht="14.25" customHeight="1">
      <c r="A22" s="4"/>
      <c r="C22" s="1" t="s">
        <v>30</v>
      </c>
      <c r="D22" s="1" t="s">
        <v>31</v>
      </c>
      <c r="E22" s="1" t="s">
        <v>32</v>
      </c>
      <c r="F22" s="5">
        <f t="shared" si="1"/>
        <v>5</v>
      </c>
      <c r="G22" s="1">
        <v>423.0</v>
      </c>
    </row>
    <row r="23" ht="14.25" customHeight="1">
      <c r="A23" s="4"/>
      <c r="C23" s="1" t="s">
        <v>33</v>
      </c>
      <c r="D23" s="1" t="s">
        <v>34</v>
      </c>
      <c r="E23" s="1" t="s">
        <v>23</v>
      </c>
      <c r="F23" s="5">
        <f t="shared" si="1"/>
        <v>6</v>
      </c>
      <c r="G23" s="1">
        <v>160.0</v>
      </c>
    </row>
    <row r="24" ht="14.25" customHeight="1">
      <c r="A24" s="4"/>
      <c r="C24" s="1" t="s">
        <v>35</v>
      </c>
      <c r="D24" s="1" t="s">
        <v>36</v>
      </c>
      <c r="E24" s="1" t="s">
        <v>23</v>
      </c>
      <c r="F24" s="5">
        <f t="shared" si="1"/>
        <v>7</v>
      </c>
      <c r="G24" s="1">
        <v>348.0</v>
      </c>
    </row>
    <row r="25" ht="14.25" customHeight="1">
      <c r="A25" s="4"/>
      <c r="C25" s="1" t="s">
        <v>37</v>
      </c>
      <c r="D25" s="1" t="s">
        <v>36</v>
      </c>
      <c r="E25" s="1" t="s">
        <v>23</v>
      </c>
      <c r="F25" s="5">
        <f t="shared" si="1"/>
        <v>8</v>
      </c>
      <c r="G25" s="1">
        <v>152.0</v>
      </c>
    </row>
    <row r="26" ht="14.25" customHeight="1">
      <c r="A26" s="4"/>
      <c r="C26" s="1" t="s">
        <v>38</v>
      </c>
      <c r="D26" s="1" t="s">
        <v>39</v>
      </c>
      <c r="E26" s="1" t="s">
        <v>32</v>
      </c>
      <c r="F26" s="5">
        <f t="shared" si="1"/>
        <v>9</v>
      </c>
      <c r="G26" s="1">
        <v>369.0</v>
      </c>
    </row>
    <row r="27" ht="14.25" customHeight="1">
      <c r="A27" s="4"/>
    </row>
    <row r="28" ht="14.25" customHeight="1">
      <c r="A28" s="4"/>
    </row>
    <row r="29" ht="14.25" customHeight="1">
      <c r="A29" s="4">
        <v>6.0</v>
      </c>
      <c r="B29" s="1" t="s">
        <v>40</v>
      </c>
    </row>
    <row r="30" ht="14.25" customHeight="1">
      <c r="A30" s="4" t="s">
        <v>12</v>
      </c>
      <c r="B30" s="1" t="s">
        <v>41</v>
      </c>
      <c r="C30" s="1" t="s">
        <v>42</v>
      </c>
    </row>
    <row r="31" ht="14.25" customHeight="1">
      <c r="A31" s="4"/>
      <c r="B31" s="1" t="str">
        <f>LEFT(C30,5)</f>
        <v>Excel</v>
      </c>
    </row>
    <row r="32" ht="14.25" customHeight="1">
      <c r="A32" s="4"/>
    </row>
    <row r="33" ht="14.25" customHeight="1">
      <c r="A33" s="4" t="s">
        <v>14</v>
      </c>
      <c r="B33" s="1" t="s">
        <v>43</v>
      </c>
      <c r="C33" s="1" t="s">
        <v>44</v>
      </c>
    </row>
    <row r="34" ht="14.25" customHeight="1">
      <c r="A34" s="4"/>
      <c r="B34" s="1" t="str">
        <f>RIGHT(C33,4)</f>
        <v>xlsx</v>
      </c>
    </row>
    <row r="35" ht="14.25" customHeight="1">
      <c r="A35" s="4"/>
    </row>
    <row r="36" ht="14.25" customHeight="1">
      <c r="A36" s="4" t="s">
        <v>45</v>
      </c>
      <c r="B36" s="1" t="s">
        <v>46</v>
      </c>
      <c r="C36" s="1" t="s">
        <v>42</v>
      </c>
    </row>
    <row r="37" ht="14.25" customHeight="1">
      <c r="A37" s="4"/>
      <c r="B37" s="1" t="str">
        <f>MID(C36,6,4)</f>
        <v>Tips</v>
      </c>
    </row>
    <row r="38" ht="14.25" customHeight="1">
      <c r="A38" s="4"/>
    </row>
    <row r="39" ht="14.25" customHeight="1">
      <c r="A39" s="4" t="s">
        <v>47</v>
      </c>
      <c r="B39" s="1" t="s">
        <v>48</v>
      </c>
      <c r="C39" s="1" t="s">
        <v>49</v>
      </c>
    </row>
    <row r="40" ht="14.25" customHeight="1">
      <c r="A40" s="4"/>
      <c r="B40" s="6">
        <f>LEN(C39)</f>
        <v>14</v>
      </c>
    </row>
    <row r="41" ht="14.25" customHeight="1">
      <c r="A41" s="4"/>
    </row>
    <row r="42" ht="14.25" customHeight="1">
      <c r="A42" s="4" t="s">
        <v>50</v>
      </c>
      <c r="B42" s="1" t="s">
        <v>51</v>
      </c>
      <c r="C42" s="1" t="s">
        <v>52</v>
      </c>
    </row>
    <row r="43" ht="14.25" customHeight="1">
      <c r="A43" s="4"/>
      <c r="B43" s="1" t="str">
        <f>MID(C42,7,6)</f>
        <v>-67890</v>
      </c>
    </row>
    <row r="44" ht="14.25" customHeight="1">
      <c r="A44" s="4"/>
    </row>
    <row r="45" ht="14.25" customHeight="1">
      <c r="A45" s="4">
        <v>7.0</v>
      </c>
      <c r="B45" s="1" t="s">
        <v>53</v>
      </c>
    </row>
    <row r="46" ht="14.25" customHeight="1">
      <c r="A46" s="4"/>
      <c r="C46" s="1" t="s">
        <v>54</v>
      </c>
    </row>
    <row r="47" ht="14.25" customHeight="1">
      <c r="A47" s="1" t="s">
        <v>12</v>
      </c>
      <c r="B47" s="1" t="s">
        <v>55</v>
      </c>
      <c r="C47" s="1" t="s">
        <v>56</v>
      </c>
    </row>
    <row r="48" ht="14.25" customHeight="1">
      <c r="B48" s="1" t="str">
        <f>CONCAT(C46,C47)</f>
        <v> Hello World</v>
      </c>
    </row>
    <row r="49" ht="14.25" customHeight="1"/>
    <row r="50" ht="14.25" customHeight="1">
      <c r="A50" s="1" t="s">
        <v>14</v>
      </c>
      <c r="B50" s="1" t="s">
        <v>57</v>
      </c>
    </row>
    <row r="51" ht="14.25" customHeight="1">
      <c r="B51" s="1" t="str">
        <f>TEXTJOIN(", ",TRUE,"Apple","Banana","Cherry")</f>
        <v>Apple, Banana, Cherry</v>
      </c>
    </row>
    <row r="52" ht="14.25" customHeight="1"/>
    <row r="53" ht="14.25" customHeight="1">
      <c r="A53" s="1" t="s">
        <v>45</v>
      </c>
      <c r="B53" s="5" t="s">
        <v>58</v>
      </c>
    </row>
    <row r="54" ht="14.25" customHeight="1">
      <c r="B54" s="1" t="str">
        <f>"2025" &amp; ": " &amp; "Excel Functions"
</f>
        <v>2025: Excel Functions</v>
      </c>
    </row>
    <row r="55" ht="14.25" customHeight="1"/>
    <row r="56" ht="14.25" customHeight="1">
      <c r="A56" s="1" t="s">
        <v>47</v>
      </c>
      <c r="B56" s="1" t="s">
        <v>59</v>
      </c>
      <c r="D56" s="5" t="s">
        <v>60</v>
      </c>
      <c r="E56" s="5" t="s">
        <v>61</v>
      </c>
      <c r="F56" s="5" t="s">
        <v>62</v>
      </c>
    </row>
    <row r="57" ht="14.25" customHeight="1">
      <c r="B57" s="1" t="str">
        <f>TEXTJOIN(",", ,D57,D58,D59,D60,D61,)</f>
        <v>Nayana,surabhi,asihu,Ram,rahul,</v>
      </c>
      <c r="D57" s="5" t="s">
        <v>63</v>
      </c>
      <c r="E57" s="5" t="s">
        <v>64</v>
      </c>
      <c r="F57" s="1" t="str">
        <f t="shared" ref="F57:F61" si="2">TEXTJOIN( , ,D57,E57)</f>
        <v>Nayanashekher</v>
      </c>
    </row>
    <row r="58" ht="14.25" customHeight="1">
      <c r="D58" s="5" t="s">
        <v>65</v>
      </c>
      <c r="E58" s="5" t="s">
        <v>66</v>
      </c>
      <c r="F58" s="1" t="str">
        <f t="shared" si="2"/>
        <v>surabhiDamu</v>
      </c>
    </row>
    <row r="59" ht="14.25" customHeight="1">
      <c r="A59" s="1" t="s">
        <v>67</v>
      </c>
      <c r="B59" s="1" t="s">
        <v>68</v>
      </c>
      <c r="D59" s="5" t="s">
        <v>69</v>
      </c>
      <c r="E59" s="5" t="s">
        <v>70</v>
      </c>
      <c r="F59" s="1" t="str">
        <f t="shared" si="2"/>
        <v>asihutakoor</v>
      </c>
    </row>
    <row r="60" ht="14.25" customHeight="1">
      <c r="D60" s="5" t="s">
        <v>71</v>
      </c>
      <c r="E60" s="5" t="s">
        <v>72</v>
      </c>
      <c r="F60" s="1" t="str">
        <f t="shared" si="2"/>
        <v>Ramkumar</v>
      </c>
    </row>
    <row r="61" ht="14.25" customHeight="1">
      <c r="D61" s="5" t="s">
        <v>73</v>
      </c>
      <c r="E61" s="5" t="s">
        <v>74</v>
      </c>
      <c r="F61" s="1" t="str">
        <f t="shared" si="2"/>
        <v>rahulkuruba</v>
      </c>
    </row>
    <row r="62" ht="14.25" customHeight="1"/>
    <row r="63" ht="14.25" customHeight="1"/>
    <row r="64" ht="14.25" customHeight="1"/>
    <row r="65" ht="14.25" customHeight="1">
      <c r="A65" s="1">
        <v>8.0</v>
      </c>
      <c r="B65" s="1" t="s">
        <v>75</v>
      </c>
    </row>
    <row r="66" ht="14.25" customHeight="1">
      <c r="A66" s="5" t="s">
        <v>12</v>
      </c>
      <c r="B66" s="5" t="s">
        <v>76</v>
      </c>
    </row>
    <row r="67" ht="14.25" customHeight="1">
      <c r="B67" s="7">
        <f>TODAY()</f>
        <v>46169</v>
      </c>
    </row>
    <row r="68" ht="14.25" customHeight="1">
      <c r="B68" s="8">
        <f>NOW()</f>
        <v>46169.25527</v>
      </c>
    </row>
    <row r="69" ht="14.25" customHeight="1">
      <c r="B69" s="5"/>
    </row>
    <row r="70" ht="14.25" customHeight="1">
      <c r="A70" s="5" t="s">
        <v>14</v>
      </c>
      <c r="B70" s="5" t="s">
        <v>77</v>
      </c>
      <c r="E70" s="9">
        <v>45818.0</v>
      </c>
      <c r="F70" s="10">
        <v>45818.0</v>
      </c>
    </row>
    <row r="71" ht="14.25" customHeight="1">
      <c r="B71" s="1">
        <f>IF(F70,E72-F70,"date Does not match")</f>
        <v>351</v>
      </c>
    </row>
    <row r="72" ht="14.25" customHeight="1">
      <c r="E72" s="7">
        <f>TODAY()</f>
        <v>46169</v>
      </c>
    </row>
    <row r="73" ht="14.25" customHeight="1">
      <c r="A73" s="5" t="s">
        <v>45</v>
      </c>
      <c r="B73" s="5" t="s">
        <v>78</v>
      </c>
    </row>
    <row r="74" ht="14.25" customHeight="1"/>
    <row r="75" ht="14.25" customHeight="1">
      <c r="B75" s="1" t="str">
        <f>text(NOW(),"MM/DD/yyyy HH:mm AM/PM")</f>
        <v>05/27/2026 06:07 AM</v>
      </c>
    </row>
    <row r="76" ht="14.25" customHeight="1"/>
    <row r="77" ht="14.25" customHeight="1"/>
    <row r="78" ht="14.25" customHeight="1">
      <c r="A78" s="5" t="s">
        <v>47</v>
      </c>
      <c r="B78" s="5" t="s">
        <v>79</v>
      </c>
    </row>
    <row r="79" ht="14.25" customHeight="1">
      <c r="B79" s="5" t="s">
        <v>80</v>
      </c>
    </row>
    <row r="80" ht="14.25" customHeight="1"/>
    <row r="81" ht="14.25" customHeight="1"/>
    <row r="82" ht="14.25" customHeight="1">
      <c r="A82" s="5" t="s">
        <v>67</v>
      </c>
      <c r="B82" s="5" t="s">
        <v>81</v>
      </c>
    </row>
    <row r="83" ht="14.25" customHeight="1">
      <c r="B83" s="11">
        <v>46169.0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4:$E$7">
    <sortState ref="C4:E7">
      <sortCondition descending="1" ref="E4:E7"/>
    </sortState>
  </autoFilter>
  <dataValidations>
    <dataValidation type="decimal" allowBlank="1" showInputMessage="1" showErrorMessage="1" prompt="Quantity Input - Please enter a whole number between 1 and 10." sqref="F17:F26">
      <formula1>1.0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